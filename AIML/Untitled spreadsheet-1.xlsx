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My Drive\ASEM6\Notes\AIML\IA1\"/>
    </mc:Choice>
  </mc:AlternateContent>
  <xr:revisionPtr revIDLastSave="0" documentId="13_ncr:1_{7451A295-9B4F-461D-ABF4-BE786C02A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B14" i="1"/>
  <c r="B12" i="1"/>
  <c r="D9" i="1" s="1"/>
  <c r="G9" i="1" s="1"/>
  <c r="A12" i="1"/>
  <c r="C9" i="1" s="1"/>
  <c r="E9" i="1" l="1"/>
  <c r="F9" i="1"/>
  <c r="C5" i="1"/>
  <c r="C8" i="1"/>
  <c r="D5" i="1"/>
  <c r="G5" i="1" s="1"/>
  <c r="D8" i="1"/>
  <c r="G8" i="1" s="1"/>
  <c r="C4" i="1"/>
  <c r="C7" i="1"/>
  <c r="C10" i="1"/>
  <c r="D4" i="1"/>
  <c r="G4" i="1" s="1"/>
  <c r="D7" i="1"/>
  <c r="G7" i="1" s="1"/>
  <c r="D10" i="1"/>
  <c r="G10" i="1" s="1"/>
  <c r="C3" i="1"/>
  <c r="C6" i="1"/>
  <c r="D3" i="1"/>
  <c r="D6" i="1"/>
  <c r="G6" i="1" s="1"/>
  <c r="E6" i="1" l="1"/>
  <c r="F6" i="1"/>
  <c r="F4" i="1"/>
  <c r="E4" i="1"/>
  <c r="F8" i="1"/>
  <c r="E8" i="1"/>
  <c r="E3" i="1"/>
  <c r="F3" i="1"/>
  <c r="C12" i="1"/>
  <c r="F10" i="1"/>
  <c r="E10" i="1"/>
  <c r="F7" i="1"/>
  <c r="E7" i="1"/>
  <c r="G3" i="1"/>
  <c r="G12" i="1" s="1"/>
  <c r="D12" i="1"/>
  <c r="F5" i="1"/>
  <c r="E5" i="1"/>
  <c r="E12" i="1" l="1"/>
  <c r="F12" i="1"/>
  <c r="B15" i="1" l="1"/>
  <c r="H4" i="1" s="1"/>
  <c r="I4" i="1" s="1"/>
  <c r="J4" i="1" s="1"/>
  <c r="H7" i="1" l="1"/>
  <c r="I7" i="1" s="1"/>
  <c r="J7" i="1" s="1"/>
  <c r="H10" i="1"/>
  <c r="I10" i="1" s="1"/>
  <c r="J10" i="1" s="1"/>
  <c r="I3" i="1"/>
  <c r="J3" i="1" s="1"/>
  <c r="H6" i="1"/>
  <c r="I6" i="1" s="1"/>
  <c r="J6" i="1" s="1"/>
  <c r="H9" i="1"/>
  <c r="I9" i="1" s="1"/>
  <c r="J9" i="1" s="1"/>
  <c r="H5" i="1"/>
  <c r="I5" i="1" s="1"/>
  <c r="J5" i="1" s="1"/>
  <c r="H8" i="1"/>
  <c r="I8" i="1" s="1"/>
  <c r="J8" i="1" s="1"/>
  <c r="J12" i="1" l="1"/>
  <c r="B17" i="1" s="1"/>
</calcChain>
</file>

<file path=xl/sharedStrings.xml><?xml version="1.0" encoding="utf-8"?>
<sst xmlns="http://schemas.openxmlformats.org/spreadsheetml/2006/main" count="13" uniqueCount="13">
  <si>
    <t>x</t>
  </si>
  <si>
    <t>y</t>
  </si>
  <si>
    <t>(x-x')</t>
  </si>
  <si>
    <t>(y-y')</t>
  </si>
  <si>
    <t>(x-x')(y-y')</t>
  </si>
  <si>
    <t>(x-x')²</t>
  </si>
  <si>
    <t>(y-y')²</t>
  </si>
  <si>
    <t>yp=mx+c</t>
  </si>
  <si>
    <t>yp-y</t>
  </si>
  <si>
    <t>(yp-y)²</t>
  </si>
  <si>
    <t>m=</t>
  </si>
  <si>
    <t>c=</t>
  </si>
  <si>
    <t>R²=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</si>
</sst>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Inherit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 wrapText="1"/>
    </xf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23</c:v>
                </c:pt>
                <c:pt idx="1">
                  <c:v>35</c:v>
                </c:pt>
                <c:pt idx="2">
                  <c:v>2</c:v>
                </c:pt>
                <c:pt idx="3">
                  <c:v>28</c:v>
                </c:pt>
                <c:pt idx="4">
                  <c:v>9</c:v>
                </c:pt>
                <c:pt idx="5">
                  <c:v>32</c:v>
                </c:pt>
                <c:pt idx="6">
                  <c:v>25</c:v>
                </c:pt>
                <c:pt idx="7">
                  <c:v>10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486</c:v>
                </c:pt>
                <c:pt idx="1">
                  <c:v>747</c:v>
                </c:pt>
                <c:pt idx="2">
                  <c:v>81</c:v>
                </c:pt>
                <c:pt idx="3">
                  <c:v>581</c:v>
                </c:pt>
                <c:pt idx="4">
                  <c:v>112</c:v>
                </c:pt>
                <c:pt idx="5">
                  <c:v>728</c:v>
                </c:pt>
                <c:pt idx="6">
                  <c:v>445</c:v>
                </c:pt>
                <c:pt idx="7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B-4807-B605-C31239C71564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23</c:v>
                </c:pt>
                <c:pt idx="1">
                  <c:v>35</c:v>
                </c:pt>
                <c:pt idx="2">
                  <c:v>2</c:v>
                </c:pt>
                <c:pt idx="3">
                  <c:v>28</c:v>
                </c:pt>
                <c:pt idx="4">
                  <c:v>9</c:v>
                </c:pt>
                <c:pt idx="5">
                  <c:v>32</c:v>
                </c:pt>
                <c:pt idx="6">
                  <c:v>25</c:v>
                </c:pt>
                <c:pt idx="7">
                  <c:v>10</c:v>
                </c:pt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469.5594059405941</c:v>
                </c:pt>
                <c:pt idx="1">
                  <c:v>738.64455445544559</c:v>
                </c:pt>
                <c:pt idx="2">
                  <c:v>-1.3396039603959977</c:v>
                </c:pt>
                <c:pt idx="3">
                  <c:v>581.67821782178225</c:v>
                </c:pt>
                <c:pt idx="4">
                  <c:v>155.62673267326736</c:v>
                </c:pt>
                <c:pt idx="5">
                  <c:v>671.37326732673273</c:v>
                </c:pt>
                <c:pt idx="6">
                  <c:v>514.4069306930694</c:v>
                </c:pt>
                <c:pt idx="7">
                  <c:v>178.05049504950497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3B-4807-B605-C31239C71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694447"/>
        <c:axId val="411695407"/>
      </c:scatterChart>
      <c:valAx>
        <c:axId val="41169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95407"/>
        <c:crosses val="autoZero"/>
        <c:crossBetween val="midCat"/>
      </c:valAx>
      <c:valAx>
        <c:axId val="4116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9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109621</xdr:colOff>
      <xdr:row>12</xdr:row>
      <xdr:rowOff>186891</xdr:rowOff>
    </xdr:from>
    <xdr:to>
      <xdr:col>9</xdr:col>
      <xdr:colOff>338221</xdr:colOff>
      <xdr:row>26</xdr:row>
      <xdr:rowOff>156411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4EE8B3-C28B-0478-9D8F-D61872164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23"/>
  <sheetViews>
    <sheetView tabSelected="1" topLeftCell="B10" zoomScale="114" zoomScaleNormal="100" workbookViewId="0">
      <selection activeCell="M26" sqref="M26"/>
    </sheetView>
  </sheetViews>
  <sheetFormatPr defaultColWidth="12.6640625" defaultRowHeight="15.75" customHeight="1"/>
  <sheetData>
    <row r="2" spans="1:10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3">
        <v>23</v>
      </c>
      <c r="B3" s="4">
        <v>486</v>
      </c>
      <c r="C3" s="5">
        <f t="shared" ref="C3:D3" si="0">A3-A12</f>
        <v>2.5</v>
      </c>
      <c r="D3" s="5">
        <f t="shared" si="0"/>
        <v>72.5</v>
      </c>
      <c r="E3" s="5">
        <f t="shared" ref="E3:E10" si="1">C3*D3</f>
        <v>181.25</v>
      </c>
      <c r="F3" s="5">
        <f t="shared" ref="F3:F10" si="2">(C3*C3)</f>
        <v>6.25</v>
      </c>
      <c r="G3" s="5">
        <f t="shared" ref="G3:G10" si="3">D3*D3</f>
        <v>5256.25</v>
      </c>
      <c r="H3" s="5">
        <f>B14*A3+B15</f>
        <v>469.5594059405941</v>
      </c>
      <c r="I3" s="5">
        <f t="shared" ref="I3:I10" si="4">H3-B3</f>
        <v>-16.440594059405896</v>
      </c>
      <c r="J3" s="5">
        <f t="shared" ref="J3:J10" si="5">I3*I3</f>
        <v>270.29313302617243</v>
      </c>
    </row>
    <row r="4" spans="1:10">
      <c r="A4" s="3">
        <v>35</v>
      </c>
      <c r="B4" s="3">
        <v>747</v>
      </c>
      <c r="C4" s="5">
        <f t="shared" ref="C4:D4" si="6">A4-A12</f>
        <v>14.5</v>
      </c>
      <c r="D4" s="5">
        <f t="shared" si="6"/>
        <v>333.5</v>
      </c>
      <c r="E4" s="5">
        <f t="shared" si="1"/>
        <v>4835.75</v>
      </c>
      <c r="F4" s="5">
        <f t="shared" si="2"/>
        <v>210.25</v>
      </c>
      <c r="G4" s="5">
        <f t="shared" si="3"/>
        <v>111222.25</v>
      </c>
      <c r="H4" s="5">
        <f>B14*A4+B15</f>
        <v>738.64455445544559</v>
      </c>
      <c r="I4" s="5">
        <f t="shared" si="4"/>
        <v>-8.3554455445544136</v>
      </c>
      <c r="J4" s="5">
        <f t="shared" si="5"/>
        <v>69.813470248014198</v>
      </c>
    </row>
    <row r="5" spans="1:10">
      <c r="A5" s="3">
        <v>2</v>
      </c>
      <c r="B5" s="3">
        <v>81</v>
      </c>
      <c r="C5" s="5">
        <f t="shared" ref="C5:D5" si="7">A5-A12</f>
        <v>-18.5</v>
      </c>
      <c r="D5" s="5">
        <f t="shared" si="7"/>
        <v>-332.5</v>
      </c>
      <c r="E5" s="5">
        <f t="shared" si="1"/>
        <v>6151.25</v>
      </c>
      <c r="F5" s="5">
        <f t="shared" si="2"/>
        <v>342.25</v>
      </c>
      <c r="G5" s="5">
        <f t="shared" si="3"/>
        <v>110556.25</v>
      </c>
      <c r="H5" s="5">
        <f>B14*A5+B15</f>
        <v>-1.3396039603959977</v>
      </c>
      <c r="I5" s="5">
        <f t="shared" si="4"/>
        <v>-82.339603960396005</v>
      </c>
      <c r="J5" s="5">
        <f t="shared" si="5"/>
        <v>6779.8103803548611</v>
      </c>
    </row>
    <row r="6" spans="1:10">
      <c r="A6" s="3">
        <v>28</v>
      </c>
      <c r="B6" s="3">
        <v>581</v>
      </c>
      <c r="C6" s="5">
        <f t="shared" ref="C6:D6" si="8">A6-A12</f>
        <v>7.5</v>
      </c>
      <c r="D6" s="5">
        <f t="shared" si="8"/>
        <v>167.5</v>
      </c>
      <c r="E6" s="5">
        <f t="shared" si="1"/>
        <v>1256.25</v>
      </c>
      <c r="F6" s="5">
        <f t="shared" si="2"/>
        <v>56.25</v>
      </c>
      <c r="G6" s="5">
        <f t="shared" si="3"/>
        <v>28056.25</v>
      </c>
      <c r="H6" s="5">
        <f>B14*A6+B15</f>
        <v>581.67821782178225</v>
      </c>
      <c r="I6" s="5">
        <f t="shared" si="4"/>
        <v>0.67821782178225476</v>
      </c>
      <c r="J6" s="5">
        <f t="shared" si="5"/>
        <v>0.45997941378306628</v>
      </c>
    </row>
    <row r="7" spans="1:10">
      <c r="A7" s="3">
        <v>9</v>
      </c>
      <c r="B7" s="3">
        <v>112</v>
      </c>
      <c r="C7" s="5">
        <f t="shared" ref="C7:D7" si="9">A7-A12</f>
        <v>-11.5</v>
      </c>
      <c r="D7" s="5">
        <f t="shared" si="9"/>
        <v>-301.5</v>
      </c>
      <c r="E7" s="5">
        <f t="shared" si="1"/>
        <v>3467.25</v>
      </c>
      <c r="F7" s="5">
        <f t="shared" si="2"/>
        <v>132.25</v>
      </c>
      <c r="G7" s="5">
        <f t="shared" si="3"/>
        <v>90902.25</v>
      </c>
      <c r="H7" s="5">
        <f>B14*A7+B15</f>
        <v>155.62673267326736</v>
      </c>
      <c r="I7" s="5">
        <f t="shared" si="4"/>
        <v>43.626732673267355</v>
      </c>
      <c r="J7" s="5">
        <f t="shared" si="5"/>
        <v>1903.2918037447334</v>
      </c>
    </row>
    <row r="8" spans="1:10">
      <c r="A8" s="3">
        <v>32</v>
      </c>
      <c r="B8" s="3">
        <v>728</v>
      </c>
      <c r="C8" s="5">
        <f t="shared" ref="C8:D8" si="10">A8-A12</f>
        <v>11.5</v>
      </c>
      <c r="D8" s="5">
        <f t="shared" si="10"/>
        <v>314.5</v>
      </c>
      <c r="E8" s="5">
        <f t="shared" si="1"/>
        <v>3616.75</v>
      </c>
      <c r="F8" s="5">
        <f t="shared" si="2"/>
        <v>132.25</v>
      </c>
      <c r="G8" s="5">
        <f t="shared" si="3"/>
        <v>98910.25</v>
      </c>
      <c r="H8" s="5">
        <f>B14*A8+B15</f>
        <v>671.37326732673273</v>
      </c>
      <c r="I8" s="5">
        <f t="shared" si="4"/>
        <v>-56.62673267326727</v>
      </c>
      <c r="J8" s="5">
        <f t="shared" si="5"/>
        <v>3206.5868532496752</v>
      </c>
    </row>
    <row r="9" spans="1:10">
      <c r="A9" s="3">
        <v>25</v>
      </c>
      <c r="B9" s="3">
        <v>445</v>
      </c>
      <c r="C9" s="5">
        <f t="shared" ref="C9:D9" si="11">A9-A12</f>
        <v>4.5</v>
      </c>
      <c r="D9" s="5">
        <f t="shared" si="11"/>
        <v>31.5</v>
      </c>
      <c r="E9" s="5">
        <f t="shared" si="1"/>
        <v>141.75</v>
      </c>
      <c r="F9" s="5">
        <f t="shared" si="2"/>
        <v>20.25</v>
      </c>
      <c r="G9" s="5">
        <f t="shared" si="3"/>
        <v>992.25</v>
      </c>
      <c r="H9" s="5">
        <f>B14*A9+B15</f>
        <v>514.4069306930694</v>
      </c>
      <c r="I9" s="5">
        <f t="shared" si="4"/>
        <v>69.406930693069398</v>
      </c>
      <c r="J9" s="5">
        <f t="shared" si="5"/>
        <v>4817.3220282325392</v>
      </c>
    </row>
    <row r="10" spans="1:10">
      <c r="A10" s="6">
        <v>10</v>
      </c>
      <c r="B10" s="6">
        <v>128</v>
      </c>
      <c r="C10" s="7">
        <f t="shared" ref="C10:D10" si="12">A10-A12</f>
        <v>-10.5</v>
      </c>
      <c r="D10" s="7">
        <f t="shared" si="12"/>
        <v>-285.5</v>
      </c>
      <c r="E10" s="7">
        <f t="shared" si="1"/>
        <v>2997.75</v>
      </c>
      <c r="F10" s="7">
        <f t="shared" si="2"/>
        <v>110.25</v>
      </c>
      <c r="G10" s="7">
        <f t="shared" si="3"/>
        <v>81510.25</v>
      </c>
      <c r="H10" s="7">
        <f>B14*A10+B15</f>
        <v>178.05049504950497</v>
      </c>
      <c r="I10" s="7">
        <f t="shared" si="4"/>
        <v>50.050495049504974</v>
      </c>
      <c r="J10" s="7">
        <f t="shared" si="5"/>
        <v>2505.0520547005217</v>
      </c>
    </row>
    <row r="12" spans="1:10">
      <c r="A12" s="8">
        <f t="shared" ref="A12:B12" si="13">AVERAGE(A3:A10)</f>
        <v>20.5</v>
      </c>
      <c r="B12" s="8">
        <f t="shared" si="13"/>
        <v>413.5</v>
      </c>
      <c r="C12" s="8">
        <f t="shared" ref="C12:G12" si="14">SUM(C3:C10)</f>
        <v>0</v>
      </c>
      <c r="D12" s="8">
        <f t="shared" si="14"/>
        <v>0</v>
      </c>
      <c r="E12" s="8">
        <f t="shared" si="14"/>
        <v>22648</v>
      </c>
      <c r="F12" s="8">
        <f t="shared" si="14"/>
        <v>1010</v>
      </c>
      <c r="G12" s="8">
        <f t="shared" si="14"/>
        <v>527406</v>
      </c>
      <c r="J12" s="8">
        <f>SUM(J3:J10)</f>
        <v>19552.629702970298</v>
      </c>
    </row>
    <row r="14" spans="1:10">
      <c r="A14" s="9" t="s">
        <v>10</v>
      </c>
      <c r="B14" s="8">
        <f>E12/F12</f>
        <v>22.423762376237622</v>
      </c>
    </row>
    <row r="15" spans="1:10">
      <c r="A15" s="9" t="s">
        <v>11</v>
      </c>
      <c r="B15" s="8">
        <f>B12-(A12*B14)</f>
        <v>-46.187128712871242</v>
      </c>
    </row>
    <row r="17" spans="1:2">
      <c r="A17" s="9" t="s">
        <v>12</v>
      </c>
      <c r="B17" s="8">
        <f>1-J12/G12</f>
        <v>0.96292679699705674</v>
      </c>
    </row>
    <row r="18" spans="1:2">
      <c r="A18" s="10"/>
      <c r="B18" s="10"/>
    </row>
    <row r="19" spans="1:2">
      <c r="A19" s="10"/>
      <c r="B19" s="10"/>
    </row>
    <row r="20" spans="1:2">
      <c r="A20" s="10"/>
      <c r="B20" s="10"/>
    </row>
    <row r="21" spans="1:2">
      <c r="A21" s="10"/>
      <c r="B21" s="10"/>
    </row>
    <row r="22" spans="1:2">
      <c r="A22" s="10"/>
      <c r="B22" s="10"/>
    </row>
    <row r="23" spans="1:2">
      <c r="A23" s="10"/>
      <c r="B2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Manabasannanavar</cp:lastModifiedBy>
  <dcterms:modified xsi:type="dcterms:W3CDTF">2025-04-07T14:18:10Z</dcterms:modified>
</cp:coreProperties>
</file>